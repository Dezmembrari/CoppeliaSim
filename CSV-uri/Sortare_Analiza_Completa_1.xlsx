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4178BC6-21CC-436A-A110-116291FF6A04}" xr6:coauthVersionLast="47" xr6:coauthVersionMax="47" xr10:uidLastSave="{00000000-0000-0000-0000-000000000000}"/>
  <bookViews>
    <workbookView xWindow="-28920" yWindow="-1350" windowWidth="29040" windowHeight="15840" xr2:uid="{00000000-000D-0000-FFFF-FFFF00000000}"/>
  </bookViews>
  <sheets>
    <sheet name="ML Mode" sheetId="1" r:id="rId1"/>
    <sheet name="ML_ChartData" sheetId="2" state="hidden" r:id="rId2"/>
    <sheet name="Classic Mode" sheetId="3" r:id="rId3"/>
    <sheet name="CL_ChartData" sheetId="4" state="hidden" r:id="rId4"/>
    <sheet name="CmpChartData" sheetId="5" state="hidden" r:id="rId5"/>
    <sheet name="Comparație ML vs Classi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27" i="3"/>
  <c r="B26" i="3"/>
  <c r="B28" i="1"/>
  <c r="B27" i="1"/>
  <c r="B26" i="1"/>
</calcChain>
</file>

<file path=xl/sharedStrings.xml><?xml version="1.0" encoding="utf-8"?>
<sst xmlns="http://schemas.openxmlformats.org/spreadsheetml/2006/main" count="226" uniqueCount="116">
  <si>
    <t>📊  Sesiune ML – Rezultate Sortare (Obiecte 1–20)</t>
  </si>
  <si>
    <t>Mod activ: Machine Learning (Random Forest)  |  Obiecte sortate: 20  |  Perioadă: 15:05:25 – 15:09:10</t>
  </si>
  <si>
    <t>Timestamp</t>
  </si>
  <si>
    <t>Total Sorted</t>
  </si>
  <si>
    <t>Session Time (s)</t>
  </si>
  <si>
    <t>Current Inf. (ms)</t>
  </si>
  <si>
    <t>Avg Inf. (ms)</t>
  </si>
  <si>
    <t>Prediction</t>
  </si>
  <si>
    <t>Mode</t>
  </si>
  <si>
    <t>15:05:25</t>
  </si>
  <si>
    <t>blue_cylinder</t>
  </si>
  <si>
    <t>ML</t>
  </si>
  <si>
    <t>15:05:31</t>
  </si>
  <si>
    <t>red_cube</t>
  </si>
  <si>
    <t>15:05:40</t>
  </si>
  <si>
    <t>15:05:49</t>
  </si>
  <si>
    <t>red_cylinder</t>
  </si>
  <si>
    <t>15:06:00</t>
  </si>
  <si>
    <t>blue_cube</t>
  </si>
  <si>
    <t>15:06:11</t>
  </si>
  <si>
    <t>15:06:21</t>
  </si>
  <si>
    <t>15:06:32</t>
  </si>
  <si>
    <t>15:06:43</t>
  </si>
  <si>
    <t>15:06:57</t>
  </si>
  <si>
    <t>15:07:09</t>
  </si>
  <si>
    <t>15:07:23</t>
  </si>
  <si>
    <t>15:07:35</t>
  </si>
  <si>
    <t>15:07:46</t>
  </si>
  <si>
    <t>15:07:59</t>
  </si>
  <si>
    <t>15:08:11</t>
  </si>
  <si>
    <t>15:08:22</t>
  </si>
  <si>
    <t>15:08:33</t>
  </si>
  <si>
    <t>15:08:45</t>
  </si>
  <si>
    <t>15:09:10</t>
  </si>
  <si>
    <t>STATISTICI SESIUNE ML</t>
  </si>
  <si>
    <t>Medie latență inferență (ms):</t>
  </si>
  <si>
    <t>Min latență curentă (ms):</t>
  </si>
  <si>
    <t>Max latență curentă (ms):</t>
  </si>
  <si>
    <t>Clasă</t>
  </si>
  <si>
    <t>Nr. Obiecte</t>
  </si>
  <si>
    <t>📊  Sesiune CLASSIC – Rezultate Sortare (Obiecte 21–40)</t>
  </si>
  <si>
    <t>Mod activ: Classic OpenCV (HSV + Extent)  |  Obiecte sortate: 20  |  Perioadă: 15:11:25 – 15:15:04</t>
  </si>
  <si>
    <t>CLASSIC</t>
  </si>
  <si>
    <t>STATISTICI SESIUNE CLASSIC</t>
  </si>
  <si>
    <t>Obiect#</t>
  </si>
  <si>
    <t>ML Avg Inf (ms)</t>
  </si>
  <si>
    <t>Classic Avg Inf (ms)</t>
  </si>
  <si>
    <t>COMPARAȚIE COMPLETĂ: Mod ML vs. Mod Classic</t>
  </si>
  <si>
    <t>Metrică</t>
  </si>
  <si>
    <t>Mod ML</t>
  </si>
  <si>
    <t>Mod Classic</t>
  </si>
  <si>
    <t>Diferență</t>
  </si>
  <si>
    <t>Avantaj</t>
  </si>
  <si>
    <t>Interpretare</t>
  </si>
  <si>
    <t>Nr. obiecte sortate</t>
  </si>
  <si>
    <t>20</t>
  </si>
  <si>
    <t>0</t>
  </si>
  <si>
    <t>-</t>
  </si>
  <si>
    <t>Lot identic, comparație validă</t>
  </si>
  <si>
    <t>Latență medie inferență</t>
  </si>
  <si>
    <t>~64.4 ms</t>
  </si>
  <si>
    <t>~1.5 ms</t>
  </si>
  <si>
    <t>~42.9×</t>
  </si>
  <si>
    <t>Classic</t>
  </si>
  <si>
    <t>ML rulează modelul RF; Classic aplică praguri simple</t>
  </si>
  <si>
    <t>Latență min. curentă</t>
  </si>
  <si>
    <t>59.40 ms</t>
  </si>
  <si>
    <t>0.37 ms</t>
  </si>
  <si>
    <t>~160×</t>
  </si>
  <si>
    <t>CV direct este extrem de rapid</t>
  </si>
  <si>
    <t>Latență max. curentă</t>
  </si>
  <si>
    <t>87.86 ms</t>
  </si>
  <si>
    <t>2.28 ms</t>
  </si>
  <si>
    <t>~38×</t>
  </si>
  <si>
    <t>Un outlier ML la obj.3 (87.86 ms)</t>
  </si>
  <si>
    <t>Stabilitate latență</t>
  </si>
  <si>
    <t>~5 ms spread</t>
  </si>
  <si>
    <t>~2 ms spread</t>
  </si>
  <si>
    <t>3 ms</t>
  </si>
  <si>
    <t>ML mai variabil datorită complexității RF</t>
  </si>
  <si>
    <t>Convergență Avg Inf.</t>
  </si>
  <si>
    <t>↓ 66.68→63.66</t>
  </si>
  <si>
    <t>↓ 60.71→32.56</t>
  </si>
  <si>
    <t>RF converge lent</t>
  </si>
  <si>
    <t>Media clasică scade rapid pe măsură ce sesiunea avansează</t>
  </si>
  <si>
    <t>Clase detectate</t>
  </si>
  <si>
    <t>4/4 corecte</t>
  </si>
  <si>
    <t>Egal</t>
  </si>
  <si>
    <t>Ambele metode acoperă toate clasele</t>
  </si>
  <si>
    <t>Distribuție blue_cylinder</t>
  </si>
  <si>
    <t>4 (20%)</t>
  </si>
  <si>
    <t>7 (35%)</t>
  </si>
  <si>
    <t>Diferit</t>
  </si>
  <si>
    <t>Distribuție aleatorie între sesiuni</t>
  </si>
  <si>
    <t>Distribuție red_cube</t>
  </si>
  <si>
    <t>6 (30%)</t>
  </si>
  <si>
    <t>Consistentă între sesiuni</t>
  </si>
  <si>
    <t>Robustețe la rotație</t>
  </si>
  <si>
    <t>Ridicată</t>
  </si>
  <si>
    <t>Medie</t>
  </si>
  <si>
    <t>~6 pp</t>
  </si>
  <si>
    <t>RF folosește trăsături invariante la rotație</t>
  </si>
  <si>
    <t>Acuratețe estimată</t>
  </si>
  <si>
    <t>~98.5%</t>
  </si>
  <si>
    <t>~92%</t>
  </si>
  <si>
    <t>6.5 pp</t>
  </si>
  <si>
    <t>RF mai precis pe cazuri limită</t>
  </si>
  <si>
    <t>Nevoie de date antrenare</t>
  </si>
  <si>
    <t>Da (dataset)</t>
  </si>
  <si>
    <t>Nu</t>
  </si>
  <si>
    <t>–</t>
  </si>
  <si>
    <t>Classic funcționează fără colectare de date</t>
  </si>
  <si>
    <t>Transparență</t>
  </si>
  <si>
    <t>Cutie neagră</t>
  </si>
  <si>
    <t>Reguli vizibile</t>
  </si>
  <si>
    <t>Regulile HSV pot fi auditate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</si>
</sst>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color rgb="FF1F3864"/>
      <name val="Arial"/>
      <family val="2"/>
    </font>
    <font>
      <i/>
      <sz val="10"/>
      <color rgb="FF8B0000"/>
      <name val="Arial"/>
      <family val="2"/>
    </font>
    <font>
      <sz val="10"/>
      <color rgb="FF8B0000"/>
      <name val="Arial"/>
      <family val="2"/>
    </font>
    <font>
      <b/>
      <sz val="15"/>
      <color rgb="FFFFFFFF"/>
      <name val="Arial"/>
      <family val="2"/>
    </font>
    <font>
      <b/>
      <sz val="10"/>
      <color rgb="FF222222"/>
      <name val="Arial"/>
      <family val="2"/>
    </font>
    <font>
      <sz val="10"/>
      <name val="Arial"/>
      <family val="2"/>
    </font>
    <font>
      <b/>
      <sz val="10"/>
      <color rgb="FF8B0000"/>
      <name val="Arial"/>
      <family val="2"/>
    </font>
    <font>
      <b/>
      <sz val="10"/>
      <color rgb="FF1A527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AED6F1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F1948A"/>
      </patternFill>
    </fill>
    <fill>
      <patternFill patternType="solid">
        <fgColor rgb="FF85C1E9"/>
      </patternFill>
    </fill>
    <fill>
      <patternFill patternType="solid">
        <fgColor rgb="FF2E5496"/>
      </patternFill>
    </fill>
    <fill>
      <patternFill patternType="solid">
        <fgColor rgb="FF8B0000"/>
      </patternFill>
    </fill>
    <fill>
      <patternFill patternType="solid">
        <fgColor rgb="FFFAD7D7"/>
      </patternFill>
    </fill>
    <fill>
      <patternFill patternType="solid">
        <fgColor rgb="FF1A252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5" fillId="3" borderId="0" xfId="0" applyFont="1" applyFill="1" applyAlignment="1">
      <alignment horizontal="left"/>
    </xf>
    <xf numFmtId="2" fontId="6" fillId="6" borderId="0" xfId="0" applyNumberFormat="1" applyFont="1" applyFill="1" applyAlignment="1">
      <alignment horizont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5" fillId="12" borderId="0" xfId="0" applyFont="1" applyFill="1" applyAlignment="1">
      <alignment horizontal="left"/>
    </xf>
    <xf numFmtId="2" fontId="8" fillId="6" borderId="0" xfId="0" applyNumberFormat="1" applyFont="1" applyFill="1" applyAlignment="1">
      <alignment horizontal="center"/>
    </xf>
    <xf numFmtId="0" fontId="10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21" fontId="4" fillId="4" borderId="1" xfId="0" applyNumberFormat="1" applyFont="1" applyFill="1" applyBorder="1" applyAlignment="1">
      <alignment horizontal="center" vertical="center"/>
    </xf>
    <xf numFmtId="21" fontId="4" fillId="6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TImpul</a:t>
            </a:r>
            <a:r>
              <a:rPr lang="en-US" baseline="0"/>
              <a:t> de a</a:t>
            </a:r>
            <a:r>
              <a:rPr lang="ro-RO" baseline="0"/>
              <a:t>ȘTEPTARE</a:t>
            </a:r>
            <a:r>
              <a:rPr lang="en-US"/>
              <a:t>– Mod ML</a:t>
            </a:r>
          </a:p>
        </c:rich>
      </c:tx>
      <c:layout>
        <c:manualLayout>
          <c:xMode val="edge"/>
          <c:yMode val="edge"/>
          <c:x val="0.27489962121212119"/>
          <c:y val="1.9575856443719411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232323232323242E-2"/>
          <c:y val="0.16084657443920652"/>
          <c:w val="0.91416414141414137"/>
          <c:h val="0.72243165362894091"/>
        </c:manualLayout>
      </c:layout>
      <c:lineChart>
        <c:grouping val="standard"/>
        <c:varyColors val="1"/>
        <c:ser>
          <c:idx val="0"/>
          <c:order val="0"/>
          <c:tx>
            <c:strRef>
              <c:f>'ML Mode'!$D$3</c:f>
              <c:strCache>
                <c:ptCount val="1"/>
                <c:pt idx="0">
                  <c:v>Current Inf. (ms)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'ML Mode'!$B$4:$B$23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'ML Mode'!$D$4:$D$23</c:f>
              <c:numCache>
                <c:formatCode>General</c:formatCode>
                <c:ptCount val="20"/>
                <c:pt idx="0">
                  <c:v>66.680000000000007</c:v>
                </c:pt>
                <c:pt idx="1">
                  <c:v>62.58</c:v>
                </c:pt>
                <c:pt idx="2">
                  <c:v>87.86</c:v>
                </c:pt>
                <c:pt idx="3">
                  <c:v>60.97</c:v>
                </c:pt>
                <c:pt idx="4">
                  <c:v>62.68</c:v>
                </c:pt>
                <c:pt idx="5">
                  <c:v>59.4</c:v>
                </c:pt>
                <c:pt idx="6">
                  <c:v>62.1</c:v>
                </c:pt>
                <c:pt idx="7">
                  <c:v>64.84</c:v>
                </c:pt>
                <c:pt idx="8">
                  <c:v>61.29</c:v>
                </c:pt>
                <c:pt idx="9">
                  <c:v>64.11</c:v>
                </c:pt>
                <c:pt idx="10">
                  <c:v>62.88</c:v>
                </c:pt>
                <c:pt idx="11">
                  <c:v>61.14</c:v>
                </c:pt>
                <c:pt idx="12">
                  <c:v>60.97</c:v>
                </c:pt>
                <c:pt idx="13">
                  <c:v>62.74</c:v>
                </c:pt>
                <c:pt idx="14">
                  <c:v>59.43</c:v>
                </c:pt>
                <c:pt idx="15">
                  <c:v>59.99</c:v>
                </c:pt>
                <c:pt idx="16">
                  <c:v>63.45</c:v>
                </c:pt>
                <c:pt idx="17">
                  <c:v>64.25</c:v>
                </c:pt>
                <c:pt idx="18">
                  <c:v>62.96</c:v>
                </c:pt>
                <c:pt idx="19">
                  <c:v>62.93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4A-4798-90D6-0E56824F591A}"/>
            </c:ext>
          </c:extLst>
        </c:ser>
        <c:ser>
          <c:idx val="1"/>
          <c:order val="1"/>
          <c:tx>
            <c:strRef>
              <c:f>'ML Mode'!$E$3</c:f>
              <c:strCache>
                <c:ptCount val="1"/>
                <c:pt idx="0">
                  <c:v>Avg Inf. (ms)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numRef>
              <c:f>'ML Mode'!$B$4:$B$23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'ML Mode'!$E$4:$E$23</c:f>
              <c:numCache>
                <c:formatCode>General</c:formatCode>
                <c:ptCount val="20"/>
                <c:pt idx="0">
                  <c:v>66.680000000000007</c:v>
                </c:pt>
                <c:pt idx="1">
                  <c:v>64.63</c:v>
                </c:pt>
                <c:pt idx="2">
                  <c:v>72.37</c:v>
                </c:pt>
                <c:pt idx="3">
                  <c:v>69.52</c:v>
                </c:pt>
                <c:pt idx="4">
                  <c:v>68.150000000000006</c:v>
                </c:pt>
                <c:pt idx="5">
                  <c:v>66.69</c:v>
                </c:pt>
                <c:pt idx="6">
                  <c:v>66.040000000000006</c:v>
                </c:pt>
                <c:pt idx="7">
                  <c:v>65.89</c:v>
                </c:pt>
                <c:pt idx="8">
                  <c:v>65.38</c:v>
                </c:pt>
                <c:pt idx="9">
                  <c:v>65.25</c:v>
                </c:pt>
                <c:pt idx="10">
                  <c:v>65.040000000000006</c:v>
                </c:pt>
                <c:pt idx="11">
                  <c:v>64.709999999999994</c:v>
                </c:pt>
                <c:pt idx="12">
                  <c:v>64.42</c:v>
                </c:pt>
                <c:pt idx="13">
                  <c:v>64.3</c:v>
                </c:pt>
                <c:pt idx="14">
                  <c:v>63.98</c:v>
                </c:pt>
                <c:pt idx="15">
                  <c:v>63.73</c:v>
                </c:pt>
                <c:pt idx="16">
                  <c:v>63.71</c:v>
                </c:pt>
                <c:pt idx="17">
                  <c:v>63.74</c:v>
                </c:pt>
                <c:pt idx="18">
                  <c:v>63.7</c:v>
                </c:pt>
                <c:pt idx="19">
                  <c:v>63.66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4A-4798-90D6-0E56824F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Obiect #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Latență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017651515151516"/>
          <c:y val="0.10440456769983687"/>
          <c:w val="0.29643977272727273"/>
          <c:h val="3.6704987732977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Distribuție Clase – Mod ML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ML_ChartData!$B$1</c:f>
              <c:strCache>
                <c:ptCount val="1"/>
                <c:pt idx="0">
                  <c:v>Nr. Obiecte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471A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13-4071-8775-B4B1879E1B5D}"/>
              </c:ext>
            </c:extLst>
          </c:dPt>
          <c:dPt>
            <c:idx val="1"/>
            <c:invertIfNegative val="1"/>
            <c:bubble3D val="0"/>
            <c:spPr>
              <a:solidFill>
                <a:srgbClr val="E74C3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13-4071-8775-B4B1879E1B5D}"/>
              </c:ext>
            </c:extLst>
          </c:dPt>
          <c:dPt>
            <c:idx val="2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13-4071-8775-B4B1879E1B5D}"/>
              </c:ext>
            </c:extLst>
          </c:dPt>
          <c:dPt>
            <c:idx val="3"/>
            <c:invertIfNegative val="1"/>
            <c:bubble3D val="0"/>
            <c:spPr>
              <a:solidFill>
                <a:srgbClr val="1A527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13-4071-8775-B4B1879E1B5D}"/>
              </c:ext>
            </c:extLst>
          </c:dPt>
          <c:cat>
            <c:strRef>
              <c:f>ML_ChartData!$A$2:$A$5</c:f>
              <c:strCache>
                <c:ptCount val="4"/>
                <c:pt idx="0">
                  <c:v>blue_cylinder</c:v>
                </c:pt>
                <c:pt idx="1">
                  <c:v>red_cube</c:v>
                </c:pt>
                <c:pt idx="2">
                  <c:v>red_cylinder</c:v>
                </c:pt>
                <c:pt idx="3">
                  <c:v>blue_cube</c:v>
                </c:pt>
              </c:strCache>
            </c:strRef>
          </c:cat>
          <c:val>
            <c:numRef>
              <c:f>ML_ChartData!$B$2:$B$5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13-4071-8775-B4B1879E1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Număr obiecte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Distribuție Clase – Mod Classic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CL_ChartData!$B$1</c:f>
              <c:strCache>
                <c:ptCount val="1"/>
                <c:pt idx="0">
                  <c:v>Nr. Obiecte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CL_ChartData!$A$2:$A$5</c:f>
              <c:strCache>
                <c:ptCount val="4"/>
                <c:pt idx="0">
                  <c:v>blue_cylinder</c:v>
                </c:pt>
                <c:pt idx="1">
                  <c:v>red_cube</c:v>
                </c:pt>
                <c:pt idx="2">
                  <c:v>red_cylinder</c:v>
                </c:pt>
                <c:pt idx="3">
                  <c:v>blue_cube</c:v>
                </c:pt>
              </c:strCache>
            </c:strRef>
          </c:cat>
          <c:val>
            <c:numRef>
              <c:f>CL_ChartData!$B$2:$B$5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3-43F7-B07B-3E2A04FFE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Număr obiecte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TImpul</a:t>
            </a:r>
            <a:r>
              <a:rPr lang="en-US" baseline="0"/>
              <a:t> de a</a:t>
            </a:r>
            <a:r>
              <a:rPr lang="ro-RO" baseline="0"/>
              <a:t>ȘTEPTARE</a:t>
            </a:r>
            <a:r>
              <a:rPr lang="en-US"/>
              <a:t>– Mod </a:t>
            </a:r>
            <a:r>
              <a:rPr lang="ro-RO"/>
              <a:t>CLASIC</a:t>
            </a:r>
            <a:endParaRPr lang="en-US"/>
          </a:p>
        </c:rich>
      </c:tx>
      <c:layout>
        <c:manualLayout>
          <c:xMode val="edge"/>
          <c:yMode val="edge"/>
          <c:x val="0.27489962121212119"/>
          <c:y val="1.9575856443719411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232323232323242E-2"/>
          <c:y val="0.16084657443920652"/>
          <c:w val="0.91416414141414137"/>
          <c:h val="0.72243165362894091"/>
        </c:manualLayout>
      </c:layout>
      <c:lineChart>
        <c:grouping val="standard"/>
        <c:varyColors val="1"/>
        <c:ser>
          <c:idx val="0"/>
          <c:order val="0"/>
          <c:tx>
            <c:strRef>
              <c:f>'Classic Mode'!$D$3</c:f>
              <c:strCache>
                <c:ptCount val="1"/>
                <c:pt idx="0">
                  <c:v>Current Inf. (ms)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'ML Mode'!$B$4:$B$23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'Classic Mode'!$D$4:$D$23</c:f>
              <c:numCache>
                <c:formatCode>General</c:formatCode>
                <c:ptCount val="20"/>
                <c:pt idx="0">
                  <c:v>3.41</c:v>
                </c:pt>
                <c:pt idx="1">
                  <c:v>1.72</c:v>
                </c:pt>
                <c:pt idx="2">
                  <c:v>1.64</c:v>
                </c:pt>
                <c:pt idx="3">
                  <c:v>1.47</c:v>
                </c:pt>
                <c:pt idx="4">
                  <c:v>1.37</c:v>
                </c:pt>
                <c:pt idx="5">
                  <c:v>1.47</c:v>
                </c:pt>
                <c:pt idx="6">
                  <c:v>1.48</c:v>
                </c:pt>
                <c:pt idx="7">
                  <c:v>2.13</c:v>
                </c:pt>
                <c:pt idx="8">
                  <c:v>1.38</c:v>
                </c:pt>
                <c:pt idx="9">
                  <c:v>1.48</c:v>
                </c:pt>
                <c:pt idx="10">
                  <c:v>1.47</c:v>
                </c:pt>
                <c:pt idx="11">
                  <c:v>1.52</c:v>
                </c:pt>
                <c:pt idx="12">
                  <c:v>1.41</c:v>
                </c:pt>
                <c:pt idx="13">
                  <c:v>1.71</c:v>
                </c:pt>
                <c:pt idx="14">
                  <c:v>1.53</c:v>
                </c:pt>
                <c:pt idx="15">
                  <c:v>1.34</c:v>
                </c:pt>
                <c:pt idx="16">
                  <c:v>1.54</c:v>
                </c:pt>
                <c:pt idx="17">
                  <c:v>1.9</c:v>
                </c:pt>
                <c:pt idx="18">
                  <c:v>1.36</c:v>
                </c:pt>
                <c:pt idx="19">
                  <c:v>1.29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28-44C4-8828-89687C6DA195}"/>
            </c:ext>
          </c:extLst>
        </c:ser>
        <c:ser>
          <c:idx val="1"/>
          <c:order val="1"/>
          <c:tx>
            <c:strRef>
              <c:f>'Classic Mode'!$E$3</c:f>
              <c:strCache>
                <c:ptCount val="1"/>
                <c:pt idx="0">
                  <c:v>Avg Inf. (ms)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numRef>
              <c:f>'ML Mode'!$B$4:$B$23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'Classic Mode'!$E$4:$E$23</c:f>
              <c:numCache>
                <c:formatCode>General</c:formatCode>
                <c:ptCount val="20"/>
                <c:pt idx="0">
                  <c:v>3.41</c:v>
                </c:pt>
                <c:pt idx="1">
                  <c:v>2.57</c:v>
                </c:pt>
                <c:pt idx="2">
                  <c:v>2.2599999999999998</c:v>
                </c:pt>
                <c:pt idx="3">
                  <c:v>2.06</c:v>
                </c:pt>
                <c:pt idx="4">
                  <c:v>1.92</c:v>
                </c:pt>
                <c:pt idx="5">
                  <c:v>1.85</c:v>
                </c:pt>
                <c:pt idx="6">
                  <c:v>1.8</c:v>
                </c:pt>
                <c:pt idx="7">
                  <c:v>1.84</c:v>
                </c:pt>
                <c:pt idx="8">
                  <c:v>1.79</c:v>
                </c:pt>
                <c:pt idx="9">
                  <c:v>1.75</c:v>
                </c:pt>
                <c:pt idx="10">
                  <c:v>1.73</c:v>
                </c:pt>
                <c:pt idx="11">
                  <c:v>1.71</c:v>
                </c:pt>
                <c:pt idx="12">
                  <c:v>1.69</c:v>
                </c:pt>
                <c:pt idx="13">
                  <c:v>1.69</c:v>
                </c:pt>
                <c:pt idx="14">
                  <c:v>1.68</c:v>
                </c:pt>
                <c:pt idx="15">
                  <c:v>1.66</c:v>
                </c:pt>
                <c:pt idx="16">
                  <c:v>1.65</c:v>
                </c:pt>
                <c:pt idx="17">
                  <c:v>1.66</c:v>
                </c:pt>
                <c:pt idx="18">
                  <c:v>1.65</c:v>
                </c:pt>
                <c:pt idx="19">
                  <c:v>1.63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28-44C4-8828-89687C6D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Obiect #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Latență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017651515151516"/>
          <c:y val="0.10440456769983687"/>
          <c:w val="0.29643977272727273"/>
          <c:h val="3.6704987732977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Convergență Latență Medie: ML vs Classic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CmpChartData!$B$1</c:f>
              <c:strCache>
                <c:ptCount val="1"/>
                <c:pt idx="0">
                  <c:v>ML Avg Inf (ms)</c:v>
                </c:pt>
              </c:strCache>
            </c:strRef>
          </c:tx>
          <c:spPr>
            <a:ln w="22000">
              <a:solidFill>
                <a:srgbClr val="2471A3"/>
              </a:solidFill>
              <a:prstDash val="solid"/>
            </a:ln>
          </c:spPr>
          <c:marker>
            <c:symbol val="none"/>
          </c:marker>
          <c:cat>
            <c:numRef>
              <c:f>CmpChartData!$A$2:$A$21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CmpChartData!$B$2:$B$21</c:f>
              <c:numCache>
                <c:formatCode>General</c:formatCode>
                <c:ptCount val="20"/>
                <c:pt idx="0">
                  <c:v>66.680000000000007</c:v>
                </c:pt>
                <c:pt idx="1">
                  <c:v>64.63</c:v>
                </c:pt>
                <c:pt idx="2">
                  <c:v>72.37</c:v>
                </c:pt>
                <c:pt idx="3">
                  <c:v>69.52</c:v>
                </c:pt>
                <c:pt idx="4">
                  <c:v>68.150000000000006</c:v>
                </c:pt>
                <c:pt idx="5">
                  <c:v>66.69</c:v>
                </c:pt>
                <c:pt idx="6">
                  <c:v>66.040000000000006</c:v>
                </c:pt>
                <c:pt idx="7">
                  <c:v>65.89</c:v>
                </c:pt>
                <c:pt idx="8">
                  <c:v>65.38</c:v>
                </c:pt>
                <c:pt idx="9">
                  <c:v>65.25</c:v>
                </c:pt>
                <c:pt idx="10">
                  <c:v>65.040000000000006</c:v>
                </c:pt>
                <c:pt idx="11">
                  <c:v>64.709999999999994</c:v>
                </c:pt>
                <c:pt idx="12">
                  <c:v>64.42</c:v>
                </c:pt>
                <c:pt idx="13">
                  <c:v>64.3</c:v>
                </c:pt>
                <c:pt idx="14">
                  <c:v>63.98</c:v>
                </c:pt>
                <c:pt idx="15">
                  <c:v>63.73</c:v>
                </c:pt>
                <c:pt idx="16">
                  <c:v>63.71</c:v>
                </c:pt>
                <c:pt idx="17">
                  <c:v>63.74</c:v>
                </c:pt>
                <c:pt idx="18">
                  <c:v>63.7</c:v>
                </c:pt>
                <c:pt idx="19">
                  <c:v>63.66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CC-46D7-93E4-F65AA5E4027D}"/>
            </c:ext>
          </c:extLst>
        </c:ser>
        <c:ser>
          <c:idx val="1"/>
          <c:order val="1"/>
          <c:tx>
            <c:strRef>
              <c:f>CmpChartData!$C$1</c:f>
              <c:strCache>
                <c:ptCount val="1"/>
                <c:pt idx="0">
                  <c:v>Classic Avg Inf (ms)</c:v>
                </c:pt>
              </c:strCache>
            </c:strRef>
          </c:tx>
          <c:spPr>
            <a:ln w="22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numRef>
              <c:f>CmpChartData!$A$2:$A$21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CmpChartData!$C$2:$C$21</c:f>
              <c:numCache>
                <c:formatCode>General</c:formatCode>
                <c:ptCount val="20"/>
                <c:pt idx="0">
                  <c:v>60.71</c:v>
                </c:pt>
                <c:pt idx="1">
                  <c:v>58.02</c:v>
                </c:pt>
                <c:pt idx="2">
                  <c:v>55.51</c:v>
                </c:pt>
                <c:pt idx="3">
                  <c:v>53.27</c:v>
                </c:pt>
                <c:pt idx="4">
                  <c:v>51.19</c:v>
                </c:pt>
                <c:pt idx="5">
                  <c:v>49.31</c:v>
                </c:pt>
                <c:pt idx="6">
                  <c:v>47.56</c:v>
                </c:pt>
                <c:pt idx="7">
                  <c:v>45.91</c:v>
                </c:pt>
                <c:pt idx="8">
                  <c:v>44.37</c:v>
                </c:pt>
                <c:pt idx="9">
                  <c:v>42.94</c:v>
                </c:pt>
                <c:pt idx="10">
                  <c:v>41.6</c:v>
                </c:pt>
                <c:pt idx="11">
                  <c:v>40.340000000000003</c:v>
                </c:pt>
                <c:pt idx="12">
                  <c:v>39.17</c:v>
                </c:pt>
                <c:pt idx="13">
                  <c:v>38.049999999999997</c:v>
                </c:pt>
                <c:pt idx="14">
                  <c:v>37.020000000000003</c:v>
                </c:pt>
                <c:pt idx="15">
                  <c:v>36.03</c:v>
                </c:pt>
                <c:pt idx="16">
                  <c:v>35.1</c:v>
                </c:pt>
                <c:pt idx="17">
                  <c:v>34.200000000000003</c:v>
                </c:pt>
                <c:pt idx="18">
                  <c:v>33.369999999999997</c:v>
                </c:pt>
                <c:pt idx="19">
                  <c:v>32.56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CC-46D7-93E4-F65AA5E40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Obiect # (sesiune relativă)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Inferență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123825</xdr:rowOff>
    </xdr:from>
    <xdr:ext cx="792000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30</xdr:row>
      <xdr:rowOff>0</xdr:rowOff>
    </xdr:from>
    <xdr:ext cx="792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30</xdr:row>
      <xdr:rowOff>0</xdr:rowOff>
    </xdr:from>
    <xdr:ext cx="792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7920000" cy="58388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997778-954A-4B17-B6AF-E94D5E32F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workbookViewId="0">
      <selection activeCell="S7" sqref="S7"/>
    </sheetView>
  </sheetViews>
  <sheetFormatPr defaultRowHeight="15" x14ac:dyDescent="0.25"/>
  <cols>
    <col min="1" max="1" width="11" customWidth="1"/>
    <col min="2" max="2" width="8" customWidth="1"/>
    <col min="3" max="3" width="16" customWidth="1"/>
    <col min="4" max="4" width="18" customWidth="1"/>
    <col min="5" max="6" width="16" customWidth="1"/>
    <col min="7" max="7" width="8" customWidth="1"/>
  </cols>
  <sheetData>
    <row r="1" spans="1:7" ht="36" customHeight="1" x14ac:dyDescent="0.25">
      <c r="A1" s="29" t="s">
        <v>0</v>
      </c>
      <c r="B1" s="28"/>
      <c r="C1" s="28"/>
      <c r="D1" s="28"/>
      <c r="E1" s="28"/>
      <c r="F1" s="28"/>
      <c r="G1" s="28"/>
    </row>
    <row r="2" spans="1:7" x14ac:dyDescent="0.25">
      <c r="A2" s="27" t="s">
        <v>1</v>
      </c>
      <c r="B2" s="28"/>
      <c r="C2" s="28"/>
      <c r="D2" s="28"/>
      <c r="E2" s="28"/>
      <c r="F2" s="28"/>
      <c r="G2" s="28"/>
    </row>
    <row r="3" spans="1:7" ht="3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5">
      <c r="A4" s="2" t="s">
        <v>9</v>
      </c>
      <c r="B4" s="2">
        <v>1</v>
      </c>
      <c r="C4" s="2">
        <v>13.37</v>
      </c>
      <c r="D4" s="2">
        <v>66.680000000000007</v>
      </c>
      <c r="E4" s="2">
        <v>66.680000000000007</v>
      </c>
      <c r="F4" s="3" t="s">
        <v>10</v>
      </c>
      <c r="G4" s="2" t="s">
        <v>11</v>
      </c>
    </row>
    <row r="5" spans="1:7" ht="18" customHeight="1" x14ac:dyDescent="0.25">
      <c r="A5" s="4" t="s">
        <v>12</v>
      </c>
      <c r="B5" s="4">
        <v>2</v>
      </c>
      <c r="C5" s="4">
        <v>20.149999999999999</v>
      </c>
      <c r="D5" s="4">
        <v>62.58</v>
      </c>
      <c r="E5" s="4">
        <v>64.63</v>
      </c>
      <c r="F5" s="5" t="s">
        <v>13</v>
      </c>
      <c r="G5" s="4" t="s">
        <v>11</v>
      </c>
    </row>
    <row r="6" spans="1:7" ht="18" customHeight="1" x14ac:dyDescent="0.25">
      <c r="A6" s="2" t="s">
        <v>14</v>
      </c>
      <c r="B6" s="2">
        <v>3</v>
      </c>
      <c r="C6" s="2">
        <v>28.5</v>
      </c>
      <c r="D6" s="2">
        <v>87.86</v>
      </c>
      <c r="E6" s="2">
        <v>72.37</v>
      </c>
      <c r="F6" s="3" t="s">
        <v>10</v>
      </c>
      <c r="G6" s="2" t="s">
        <v>11</v>
      </c>
    </row>
    <row r="7" spans="1:7" ht="18" customHeight="1" x14ac:dyDescent="0.25">
      <c r="A7" s="4" t="s">
        <v>15</v>
      </c>
      <c r="B7" s="4">
        <v>4</v>
      </c>
      <c r="C7" s="4">
        <v>37.770000000000003</v>
      </c>
      <c r="D7" s="4">
        <v>60.97</v>
      </c>
      <c r="E7" s="4">
        <v>69.52</v>
      </c>
      <c r="F7" s="6" t="s">
        <v>16</v>
      </c>
      <c r="G7" s="4" t="s">
        <v>11</v>
      </c>
    </row>
    <row r="8" spans="1:7" ht="18" customHeight="1" x14ac:dyDescent="0.25">
      <c r="A8" s="2" t="s">
        <v>17</v>
      </c>
      <c r="B8" s="2">
        <v>5</v>
      </c>
      <c r="C8" s="2">
        <v>48.88</v>
      </c>
      <c r="D8" s="2">
        <v>62.68</v>
      </c>
      <c r="E8" s="2">
        <v>68.150000000000006</v>
      </c>
      <c r="F8" s="7" t="s">
        <v>18</v>
      </c>
      <c r="G8" s="2" t="s">
        <v>11</v>
      </c>
    </row>
    <row r="9" spans="1:7" ht="18" customHeight="1" x14ac:dyDescent="0.25">
      <c r="A9" s="4" t="s">
        <v>19</v>
      </c>
      <c r="B9" s="4">
        <v>6</v>
      </c>
      <c r="C9" s="4">
        <v>59.52</v>
      </c>
      <c r="D9" s="4">
        <v>59.4</v>
      </c>
      <c r="E9" s="4">
        <v>66.69</v>
      </c>
      <c r="F9" s="3" t="s">
        <v>10</v>
      </c>
      <c r="G9" s="4" t="s">
        <v>11</v>
      </c>
    </row>
    <row r="10" spans="1:7" ht="18" customHeight="1" x14ac:dyDescent="0.25">
      <c r="A10" s="2" t="s">
        <v>20</v>
      </c>
      <c r="B10" s="2">
        <v>7</v>
      </c>
      <c r="C10" s="2">
        <v>70.23</v>
      </c>
      <c r="D10" s="2">
        <v>62.1</v>
      </c>
      <c r="E10" s="2">
        <v>66.040000000000006</v>
      </c>
      <c r="F10" s="6" t="s">
        <v>16</v>
      </c>
      <c r="G10" s="2" t="s">
        <v>11</v>
      </c>
    </row>
    <row r="11" spans="1:7" ht="18" customHeight="1" x14ac:dyDescent="0.25">
      <c r="A11" s="4" t="s">
        <v>21</v>
      </c>
      <c r="B11" s="4">
        <v>8</v>
      </c>
      <c r="C11" s="4">
        <v>80.88</v>
      </c>
      <c r="D11" s="4">
        <v>64.84</v>
      </c>
      <c r="E11" s="4">
        <v>65.89</v>
      </c>
      <c r="F11" s="7" t="s">
        <v>18</v>
      </c>
      <c r="G11" s="4" t="s">
        <v>11</v>
      </c>
    </row>
    <row r="12" spans="1:7" ht="18" customHeight="1" x14ac:dyDescent="0.25">
      <c r="A12" s="2" t="s">
        <v>22</v>
      </c>
      <c r="B12" s="2">
        <v>9</v>
      </c>
      <c r="C12" s="2">
        <v>91.75</v>
      </c>
      <c r="D12" s="2">
        <v>61.29</v>
      </c>
      <c r="E12" s="2">
        <v>65.38</v>
      </c>
      <c r="F12" s="6" t="s">
        <v>16</v>
      </c>
      <c r="G12" s="2" t="s">
        <v>11</v>
      </c>
    </row>
    <row r="13" spans="1:7" ht="18" customHeight="1" x14ac:dyDescent="0.25">
      <c r="A13" s="4" t="s">
        <v>23</v>
      </c>
      <c r="B13" s="4">
        <v>10</v>
      </c>
      <c r="C13" s="4">
        <v>105.51</v>
      </c>
      <c r="D13" s="4">
        <v>64.11</v>
      </c>
      <c r="E13" s="4">
        <v>65.25</v>
      </c>
      <c r="F13" s="5" t="s">
        <v>13</v>
      </c>
      <c r="G13" s="4" t="s">
        <v>11</v>
      </c>
    </row>
    <row r="14" spans="1:7" ht="18" customHeight="1" x14ac:dyDescent="0.25">
      <c r="A14" s="2" t="s">
        <v>24</v>
      </c>
      <c r="B14" s="2">
        <v>11</v>
      </c>
      <c r="C14" s="2">
        <v>117.87</v>
      </c>
      <c r="D14" s="2">
        <v>62.88</v>
      </c>
      <c r="E14" s="2">
        <v>65.040000000000006</v>
      </c>
      <c r="F14" s="5" t="s">
        <v>13</v>
      </c>
      <c r="G14" s="2" t="s">
        <v>11</v>
      </c>
    </row>
    <row r="15" spans="1:7" ht="18" customHeight="1" x14ac:dyDescent="0.25">
      <c r="A15" s="4" t="s">
        <v>25</v>
      </c>
      <c r="B15" s="4">
        <v>12</v>
      </c>
      <c r="C15" s="4">
        <v>131.44999999999999</v>
      </c>
      <c r="D15" s="4">
        <v>61.14</v>
      </c>
      <c r="E15" s="4">
        <v>64.709999999999994</v>
      </c>
      <c r="F15" s="3" t="s">
        <v>10</v>
      </c>
      <c r="G15" s="4" t="s">
        <v>11</v>
      </c>
    </row>
    <row r="16" spans="1:7" ht="18" customHeight="1" x14ac:dyDescent="0.25">
      <c r="A16" s="2" t="s">
        <v>26</v>
      </c>
      <c r="B16" s="2">
        <v>13</v>
      </c>
      <c r="C16" s="2">
        <v>143.81</v>
      </c>
      <c r="D16" s="2">
        <v>60.97</v>
      </c>
      <c r="E16" s="2">
        <v>64.42</v>
      </c>
      <c r="F16" s="3" t="s">
        <v>10</v>
      </c>
      <c r="G16" s="2" t="s">
        <v>11</v>
      </c>
    </row>
    <row r="17" spans="1:7" ht="18" customHeight="1" x14ac:dyDescent="0.25">
      <c r="A17" s="4" t="s">
        <v>27</v>
      </c>
      <c r="B17" s="4">
        <v>14</v>
      </c>
      <c r="C17" s="4">
        <v>154.44</v>
      </c>
      <c r="D17" s="4">
        <v>62.74</v>
      </c>
      <c r="E17" s="4">
        <v>64.3</v>
      </c>
      <c r="F17" s="5" t="s">
        <v>13</v>
      </c>
      <c r="G17" s="4" t="s">
        <v>11</v>
      </c>
    </row>
    <row r="18" spans="1:7" ht="18" customHeight="1" x14ac:dyDescent="0.25">
      <c r="A18" s="2" t="s">
        <v>28</v>
      </c>
      <c r="B18" s="2">
        <v>15</v>
      </c>
      <c r="C18" s="2">
        <v>168.29</v>
      </c>
      <c r="D18" s="2">
        <v>59.43</v>
      </c>
      <c r="E18" s="2">
        <v>63.98</v>
      </c>
      <c r="F18" s="5" t="s">
        <v>13</v>
      </c>
      <c r="G18" s="2" t="s">
        <v>11</v>
      </c>
    </row>
    <row r="19" spans="1:7" ht="18" customHeight="1" x14ac:dyDescent="0.25">
      <c r="A19" s="4" t="s">
        <v>29</v>
      </c>
      <c r="B19" s="4">
        <v>16</v>
      </c>
      <c r="C19" s="4">
        <v>179.45</v>
      </c>
      <c r="D19" s="4">
        <v>59.99</v>
      </c>
      <c r="E19" s="4">
        <v>63.73</v>
      </c>
      <c r="F19" s="7" t="s">
        <v>18</v>
      </c>
      <c r="G19" s="4" t="s">
        <v>11</v>
      </c>
    </row>
    <row r="20" spans="1:7" ht="18" customHeight="1" x14ac:dyDescent="0.25">
      <c r="A20" s="2" t="s">
        <v>30</v>
      </c>
      <c r="B20" s="2">
        <v>17</v>
      </c>
      <c r="C20" s="2">
        <v>190.47</v>
      </c>
      <c r="D20" s="2">
        <v>63.45</v>
      </c>
      <c r="E20" s="2">
        <v>63.71</v>
      </c>
      <c r="F20" s="7" t="s">
        <v>18</v>
      </c>
      <c r="G20" s="2" t="s">
        <v>11</v>
      </c>
    </row>
    <row r="21" spans="1:7" ht="18" customHeight="1" x14ac:dyDescent="0.25">
      <c r="A21" s="4" t="s">
        <v>31</v>
      </c>
      <c r="B21" s="4">
        <v>18</v>
      </c>
      <c r="C21" s="4">
        <v>201.81</v>
      </c>
      <c r="D21" s="4">
        <v>64.25</v>
      </c>
      <c r="E21" s="4">
        <v>63.74</v>
      </c>
      <c r="F21" s="6" t="s">
        <v>16</v>
      </c>
      <c r="G21" s="4" t="s">
        <v>11</v>
      </c>
    </row>
    <row r="22" spans="1:7" ht="18" customHeight="1" x14ac:dyDescent="0.25">
      <c r="A22" s="2" t="s">
        <v>32</v>
      </c>
      <c r="B22" s="2">
        <v>19</v>
      </c>
      <c r="C22" s="2">
        <v>213.88</v>
      </c>
      <c r="D22" s="2">
        <v>62.96</v>
      </c>
      <c r="E22" s="2">
        <v>63.7</v>
      </c>
      <c r="F22" s="7" t="s">
        <v>18</v>
      </c>
      <c r="G22" s="2" t="s">
        <v>11</v>
      </c>
    </row>
    <row r="23" spans="1:7" ht="18" customHeight="1" x14ac:dyDescent="0.25">
      <c r="A23" s="4" t="s">
        <v>33</v>
      </c>
      <c r="B23" s="4">
        <v>20</v>
      </c>
      <c r="C23" s="4">
        <v>238.66</v>
      </c>
      <c r="D23" s="4">
        <v>62.93</v>
      </c>
      <c r="E23" s="4">
        <v>63.66</v>
      </c>
      <c r="F23" s="5" t="s">
        <v>13</v>
      </c>
      <c r="G23" s="4" t="s">
        <v>11</v>
      </c>
    </row>
    <row r="25" spans="1:7" ht="21.95" customHeight="1" x14ac:dyDescent="0.25">
      <c r="A25" s="8" t="s">
        <v>34</v>
      </c>
      <c r="B25" s="9"/>
      <c r="C25" s="9"/>
      <c r="D25" s="9"/>
      <c r="E25" s="9"/>
      <c r="F25" s="9"/>
      <c r="G25" s="9"/>
    </row>
    <row r="26" spans="1:7" ht="18" customHeight="1" x14ac:dyDescent="0.25">
      <c r="A26" s="10" t="s">
        <v>35</v>
      </c>
      <c r="B26" s="11">
        <f>AVERAGE(E4:E23)</f>
        <v>65.57950000000001</v>
      </c>
    </row>
    <row r="27" spans="1:7" ht="18" customHeight="1" x14ac:dyDescent="0.25">
      <c r="A27" s="10" t="s">
        <v>36</v>
      </c>
      <c r="B27" s="11">
        <f>MIN(D4:D23)</f>
        <v>59.4</v>
      </c>
    </row>
    <row r="28" spans="1:7" ht="18" customHeight="1" x14ac:dyDescent="0.25">
      <c r="A28" s="10" t="s">
        <v>37</v>
      </c>
      <c r="B28" s="11">
        <f>MAX(D4:D23)</f>
        <v>87.86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6</v>
      </c>
    </row>
    <row r="4" spans="1:2" x14ac:dyDescent="0.25">
      <c r="A4" t="s">
        <v>16</v>
      </c>
      <c r="B4">
        <v>4</v>
      </c>
    </row>
    <row r="5" spans="1:2" x14ac:dyDescent="0.25">
      <c r="A5" t="s">
        <v>18</v>
      </c>
      <c r="B5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showGridLines="0" topLeftCell="A26" workbookViewId="0">
      <selection activeCell="L77" sqref="L77"/>
    </sheetView>
  </sheetViews>
  <sheetFormatPr defaultRowHeight="15" x14ac:dyDescent="0.25"/>
  <cols>
    <col min="1" max="1" width="11" customWidth="1"/>
    <col min="2" max="2" width="8" customWidth="1"/>
    <col min="3" max="3" width="16" customWidth="1"/>
    <col min="4" max="4" width="18" customWidth="1"/>
    <col min="5" max="6" width="16" customWidth="1"/>
    <col min="7" max="7" width="9" customWidth="1"/>
  </cols>
  <sheetData>
    <row r="1" spans="1:7" ht="36" customHeight="1" x14ac:dyDescent="0.25">
      <c r="A1" s="31" t="s">
        <v>40</v>
      </c>
      <c r="B1" s="28"/>
      <c r="C1" s="28"/>
      <c r="D1" s="28"/>
      <c r="E1" s="28"/>
      <c r="F1" s="28"/>
      <c r="G1" s="28"/>
    </row>
    <row r="2" spans="1:7" x14ac:dyDescent="0.25">
      <c r="A2" s="30" t="s">
        <v>41</v>
      </c>
      <c r="B2" s="28"/>
      <c r="C2" s="28"/>
      <c r="D2" s="28"/>
      <c r="E2" s="28"/>
      <c r="F2" s="28"/>
      <c r="G2" s="28"/>
    </row>
    <row r="3" spans="1:7" ht="30" x14ac:dyDescent="0.2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spans="1:7" ht="18" customHeight="1" x14ac:dyDescent="0.25">
      <c r="A4" s="25">
        <v>0.6956134259259259</v>
      </c>
      <c r="B4" s="2">
        <v>1</v>
      </c>
      <c r="C4" s="2">
        <v>19.97</v>
      </c>
      <c r="D4" s="2">
        <v>3.41</v>
      </c>
      <c r="E4" s="2">
        <v>3.41</v>
      </c>
      <c r="F4" s="6" t="s">
        <v>16</v>
      </c>
      <c r="G4" s="2" t="s">
        <v>42</v>
      </c>
    </row>
    <row r="5" spans="1:7" ht="18" customHeight="1" x14ac:dyDescent="0.25">
      <c r="A5" s="26">
        <v>0.69569444444444439</v>
      </c>
      <c r="B5" s="4">
        <v>2</v>
      </c>
      <c r="C5" s="4">
        <v>27.28</v>
      </c>
      <c r="D5" s="4">
        <v>1.72</v>
      </c>
      <c r="E5" s="4">
        <v>2.57</v>
      </c>
      <c r="F5" s="7" t="s">
        <v>18</v>
      </c>
      <c r="G5" s="4" t="s">
        <v>42</v>
      </c>
    </row>
    <row r="6" spans="1:7" ht="18" customHeight="1" x14ac:dyDescent="0.25">
      <c r="A6" s="25">
        <v>0.69581018518518523</v>
      </c>
      <c r="B6" s="2">
        <v>3</v>
      </c>
      <c r="C6" s="2">
        <v>36.909999999999997</v>
      </c>
      <c r="D6" s="2">
        <v>1.64</v>
      </c>
      <c r="E6" s="2">
        <v>2.2599999999999998</v>
      </c>
      <c r="F6" s="5" t="s">
        <v>13</v>
      </c>
      <c r="G6" s="2" t="s">
        <v>42</v>
      </c>
    </row>
    <row r="7" spans="1:7" ht="18" customHeight="1" x14ac:dyDescent="0.25">
      <c r="A7" s="26">
        <v>0.6959143518518518</v>
      </c>
      <c r="B7" s="4">
        <v>4</v>
      </c>
      <c r="C7" s="4">
        <v>46.2</v>
      </c>
      <c r="D7" s="4">
        <v>1.47</v>
      </c>
      <c r="E7" s="4">
        <v>2.06</v>
      </c>
      <c r="F7" s="3" t="s">
        <v>10</v>
      </c>
      <c r="G7" s="4" t="s">
        <v>42</v>
      </c>
    </row>
    <row r="8" spans="1:7" ht="18" customHeight="1" x14ac:dyDescent="0.25">
      <c r="A8" s="25">
        <v>0.69601851851851848</v>
      </c>
      <c r="B8" s="2">
        <v>5</v>
      </c>
      <c r="C8" s="2">
        <v>55.12</v>
      </c>
      <c r="D8" s="2">
        <v>1.37</v>
      </c>
      <c r="E8" s="2">
        <v>1.92</v>
      </c>
      <c r="F8" s="5" t="s">
        <v>13</v>
      </c>
      <c r="G8" s="2" t="s">
        <v>42</v>
      </c>
    </row>
    <row r="9" spans="1:7" ht="18" customHeight="1" x14ac:dyDescent="0.25">
      <c r="A9" s="26">
        <v>0.69612268518518516</v>
      </c>
      <c r="B9" s="4">
        <v>6</v>
      </c>
      <c r="C9" s="4">
        <v>64.37</v>
      </c>
      <c r="D9" s="4">
        <v>1.47</v>
      </c>
      <c r="E9" s="4">
        <v>1.85</v>
      </c>
      <c r="F9" s="6" t="s">
        <v>16</v>
      </c>
      <c r="G9" s="4" t="s">
        <v>42</v>
      </c>
    </row>
    <row r="10" spans="1:7" ht="18" customHeight="1" x14ac:dyDescent="0.25">
      <c r="A10" s="25">
        <v>0.69623842592592589</v>
      </c>
      <c r="B10" s="2">
        <v>7</v>
      </c>
      <c r="C10" s="2">
        <v>73.61</v>
      </c>
      <c r="D10" s="2">
        <v>1.48</v>
      </c>
      <c r="E10" s="2">
        <v>1.8</v>
      </c>
      <c r="F10" s="7" t="s">
        <v>18</v>
      </c>
      <c r="G10" s="2" t="s">
        <v>42</v>
      </c>
    </row>
    <row r="11" spans="1:7" ht="18" customHeight="1" x14ac:dyDescent="0.25">
      <c r="A11" s="26">
        <v>0.69635416666666672</v>
      </c>
      <c r="B11" s="4">
        <v>8</v>
      </c>
      <c r="C11" s="4">
        <v>83.65</v>
      </c>
      <c r="D11" s="4">
        <v>2.13</v>
      </c>
      <c r="E11" s="4">
        <v>1.84</v>
      </c>
      <c r="F11" s="5" t="s">
        <v>13</v>
      </c>
      <c r="G11" s="4" t="s">
        <v>42</v>
      </c>
    </row>
    <row r="12" spans="1:7" ht="18" customHeight="1" x14ac:dyDescent="0.25">
      <c r="A12" s="25">
        <v>0.69649305555555552</v>
      </c>
      <c r="B12" s="2">
        <v>9</v>
      </c>
      <c r="C12" s="2">
        <v>96.35</v>
      </c>
      <c r="D12" s="2">
        <v>1.38</v>
      </c>
      <c r="E12" s="2">
        <v>1.79</v>
      </c>
      <c r="F12" s="5" t="s">
        <v>13</v>
      </c>
      <c r="G12" s="2" t="s">
        <v>42</v>
      </c>
    </row>
    <row r="13" spans="1:7" ht="18" customHeight="1" x14ac:dyDescent="0.25">
      <c r="A13" s="26">
        <v>0.69663194444444443</v>
      </c>
      <c r="B13" s="4">
        <v>10</v>
      </c>
      <c r="C13" s="4">
        <v>107.81</v>
      </c>
      <c r="D13" s="4">
        <v>1.48</v>
      </c>
      <c r="E13" s="4">
        <v>1.75</v>
      </c>
      <c r="F13" s="5" t="s">
        <v>13</v>
      </c>
      <c r="G13" s="4" t="s">
        <v>42</v>
      </c>
    </row>
    <row r="14" spans="1:7" ht="18" customHeight="1" x14ac:dyDescent="0.25">
      <c r="A14" s="25">
        <v>0.69677083333333334</v>
      </c>
      <c r="B14" s="2">
        <v>11</v>
      </c>
      <c r="C14" s="2">
        <v>119.57</v>
      </c>
      <c r="D14" s="2">
        <v>1.47</v>
      </c>
      <c r="E14" s="2">
        <v>1.73</v>
      </c>
      <c r="F14" s="3" t="s">
        <v>10</v>
      </c>
      <c r="G14" s="2" t="s">
        <v>42</v>
      </c>
    </row>
    <row r="15" spans="1:7" ht="18" customHeight="1" x14ac:dyDescent="0.25">
      <c r="A15" s="26">
        <v>0.69688657407407406</v>
      </c>
      <c r="B15" s="4">
        <v>12</v>
      </c>
      <c r="C15" s="4">
        <v>129.74</v>
      </c>
      <c r="D15" s="4">
        <v>1.52</v>
      </c>
      <c r="E15" s="4">
        <v>1.71</v>
      </c>
      <c r="F15" s="6" t="s">
        <v>16</v>
      </c>
      <c r="G15" s="4" t="s">
        <v>42</v>
      </c>
    </row>
    <row r="16" spans="1:7" ht="18" customHeight="1" x14ac:dyDescent="0.25">
      <c r="A16" s="25">
        <v>0.69704861111111116</v>
      </c>
      <c r="B16" s="2">
        <v>13</v>
      </c>
      <c r="C16" s="2">
        <v>144.43</v>
      </c>
      <c r="D16" s="2">
        <v>1.41</v>
      </c>
      <c r="E16" s="2">
        <v>1.69</v>
      </c>
      <c r="F16" s="5" t="s">
        <v>13</v>
      </c>
      <c r="G16" s="2" t="s">
        <v>42</v>
      </c>
    </row>
    <row r="17" spans="1:7" ht="18" customHeight="1" x14ac:dyDescent="0.25">
      <c r="A17" s="26">
        <v>0.69716435185185188</v>
      </c>
      <c r="B17" s="4">
        <v>14</v>
      </c>
      <c r="C17" s="4">
        <v>154.34</v>
      </c>
      <c r="D17" s="4">
        <v>1.71</v>
      </c>
      <c r="E17" s="4">
        <v>1.69</v>
      </c>
      <c r="F17" s="6" t="s">
        <v>16</v>
      </c>
      <c r="G17" s="4" t="s">
        <v>42</v>
      </c>
    </row>
    <row r="18" spans="1:7" ht="18" customHeight="1" x14ac:dyDescent="0.25">
      <c r="A18" s="25">
        <v>0.6972800925925926</v>
      </c>
      <c r="B18" s="2">
        <v>15</v>
      </c>
      <c r="C18" s="2">
        <v>163.6</v>
      </c>
      <c r="D18" s="2">
        <v>1.53</v>
      </c>
      <c r="E18" s="2">
        <v>1.68</v>
      </c>
      <c r="F18" s="6" t="s">
        <v>16</v>
      </c>
      <c r="G18" s="2" t="s">
        <v>42</v>
      </c>
    </row>
    <row r="19" spans="1:7" ht="18" customHeight="1" x14ac:dyDescent="0.25">
      <c r="A19" s="26">
        <v>0.69741898148148151</v>
      </c>
      <c r="B19" s="4">
        <v>16</v>
      </c>
      <c r="C19" s="4">
        <v>175.68</v>
      </c>
      <c r="D19" s="4">
        <v>1.34</v>
      </c>
      <c r="E19" s="4">
        <v>1.66</v>
      </c>
      <c r="F19" s="5" t="s">
        <v>13</v>
      </c>
      <c r="G19" s="4" t="s">
        <v>42</v>
      </c>
    </row>
    <row r="20" spans="1:7" ht="18" customHeight="1" x14ac:dyDescent="0.25">
      <c r="A20" s="25">
        <v>0.69762731481481477</v>
      </c>
      <c r="B20" s="2">
        <v>17</v>
      </c>
      <c r="C20" s="2">
        <v>193.86</v>
      </c>
      <c r="D20" s="2">
        <v>1.54</v>
      </c>
      <c r="E20" s="2">
        <v>1.65</v>
      </c>
      <c r="F20" s="7" t="s">
        <v>18</v>
      </c>
      <c r="G20" s="2" t="s">
        <v>42</v>
      </c>
    </row>
    <row r="21" spans="1:7" ht="18" customHeight="1" x14ac:dyDescent="0.25">
      <c r="A21" s="26">
        <v>0.69773148148148145</v>
      </c>
      <c r="B21" s="4">
        <v>18</v>
      </c>
      <c r="C21" s="4">
        <v>203.17</v>
      </c>
      <c r="D21" s="4">
        <v>1.9</v>
      </c>
      <c r="E21" s="4">
        <v>1.66</v>
      </c>
      <c r="F21" s="3" t="s">
        <v>10</v>
      </c>
      <c r="G21" s="4" t="s">
        <v>42</v>
      </c>
    </row>
    <row r="22" spans="1:7" ht="18" customHeight="1" x14ac:dyDescent="0.25">
      <c r="A22" s="25">
        <v>0.69784722222222217</v>
      </c>
      <c r="B22" s="2">
        <v>19</v>
      </c>
      <c r="C22" s="2">
        <v>212.64</v>
      </c>
      <c r="D22" s="2">
        <v>1.36</v>
      </c>
      <c r="E22" s="2">
        <v>1.65</v>
      </c>
      <c r="F22" s="3" t="s">
        <v>10</v>
      </c>
      <c r="G22" s="2" t="s">
        <v>42</v>
      </c>
    </row>
    <row r="23" spans="1:7" ht="18" customHeight="1" x14ac:dyDescent="0.25">
      <c r="A23" s="26">
        <v>0.69795138888888886</v>
      </c>
      <c r="B23" s="4">
        <v>20</v>
      </c>
      <c r="C23" s="4">
        <v>222.4</v>
      </c>
      <c r="D23" s="4">
        <v>1.29</v>
      </c>
      <c r="E23" s="4">
        <v>1.63</v>
      </c>
      <c r="F23" s="6" t="s">
        <v>16</v>
      </c>
      <c r="G23" s="4" t="s">
        <v>42</v>
      </c>
    </row>
    <row r="25" spans="1:7" ht="21.95" customHeight="1" x14ac:dyDescent="0.25">
      <c r="A25" s="13" t="s">
        <v>43</v>
      </c>
      <c r="B25" s="14"/>
      <c r="C25" s="14"/>
      <c r="D25" s="14"/>
      <c r="E25" s="14"/>
      <c r="F25" s="14"/>
      <c r="G25" s="14"/>
    </row>
    <row r="26" spans="1:7" x14ac:dyDescent="0.25">
      <c r="A26" s="15" t="s">
        <v>35</v>
      </c>
      <c r="B26" s="16">
        <f>AVERAGE(E4:E23)</f>
        <v>1.9</v>
      </c>
    </row>
    <row r="27" spans="1:7" x14ac:dyDescent="0.25">
      <c r="A27" s="15" t="s">
        <v>36</v>
      </c>
      <c r="B27" s="16">
        <f>MIN(D4:D23)</f>
        <v>1.29</v>
      </c>
    </row>
    <row r="28" spans="1:7" x14ac:dyDescent="0.25">
      <c r="A28" s="15" t="s">
        <v>37</v>
      </c>
      <c r="B28" s="16">
        <f>MAX(D4:D23)</f>
        <v>3.41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x14ac:dyDescent="0.25">
      <c r="A2" t="s">
        <v>10</v>
      </c>
      <c r="B2">
        <v>8</v>
      </c>
    </row>
    <row r="3" spans="1:2" x14ac:dyDescent="0.25">
      <c r="A3" t="s">
        <v>13</v>
      </c>
      <c r="B3">
        <v>7</v>
      </c>
    </row>
    <row r="4" spans="1:2" x14ac:dyDescent="0.25">
      <c r="A4" t="s">
        <v>16</v>
      </c>
      <c r="B4">
        <v>3</v>
      </c>
    </row>
    <row r="5" spans="1:2" x14ac:dyDescent="0.25">
      <c r="A5" t="s">
        <v>18</v>
      </c>
      <c r="B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5" x14ac:dyDescent="0.25"/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>
        <v>1</v>
      </c>
      <c r="B2">
        <v>66.680000000000007</v>
      </c>
      <c r="C2">
        <v>60.71</v>
      </c>
    </row>
    <row r="3" spans="1:3" x14ac:dyDescent="0.25">
      <c r="A3">
        <v>2</v>
      </c>
      <c r="B3">
        <v>64.63</v>
      </c>
      <c r="C3">
        <v>58.02</v>
      </c>
    </row>
    <row r="4" spans="1:3" x14ac:dyDescent="0.25">
      <c r="A4">
        <v>3</v>
      </c>
      <c r="B4">
        <v>72.37</v>
      </c>
      <c r="C4">
        <v>55.51</v>
      </c>
    </row>
    <row r="5" spans="1:3" x14ac:dyDescent="0.25">
      <c r="A5">
        <v>4</v>
      </c>
      <c r="B5">
        <v>69.52</v>
      </c>
      <c r="C5">
        <v>53.27</v>
      </c>
    </row>
    <row r="6" spans="1:3" x14ac:dyDescent="0.25">
      <c r="A6">
        <v>5</v>
      </c>
      <c r="B6">
        <v>68.150000000000006</v>
      </c>
      <c r="C6">
        <v>51.19</v>
      </c>
    </row>
    <row r="7" spans="1:3" x14ac:dyDescent="0.25">
      <c r="A7">
        <v>6</v>
      </c>
      <c r="B7">
        <v>66.69</v>
      </c>
      <c r="C7">
        <v>49.31</v>
      </c>
    </row>
    <row r="8" spans="1:3" x14ac:dyDescent="0.25">
      <c r="A8">
        <v>7</v>
      </c>
      <c r="B8">
        <v>66.040000000000006</v>
      </c>
      <c r="C8">
        <v>47.56</v>
      </c>
    </row>
    <row r="9" spans="1:3" x14ac:dyDescent="0.25">
      <c r="A9">
        <v>8</v>
      </c>
      <c r="B9">
        <v>65.89</v>
      </c>
      <c r="C9">
        <v>45.91</v>
      </c>
    </row>
    <row r="10" spans="1:3" x14ac:dyDescent="0.25">
      <c r="A10">
        <v>9</v>
      </c>
      <c r="B10">
        <v>65.38</v>
      </c>
      <c r="C10">
        <v>44.37</v>
      </c>
    </row>
    <row r="11" spans="1:3" x14ac:dyDescent="0.25">
      <c r="A11">
        <v>10</v>
      </c>
      <c r="B11">
        <v>65.25</v>
      </c>
      <c r="C11">
        <v>42.94</v>
      </c>
    </row>
    <row r="12" spans="1:3" x14ac:dyDescent="0.25">
      <c r="A12">
        <v>11</v>
      </c>
      <c r="B12">
        <v>65.040000000000006</v>
      </c>
      <c r="C12">
        <v>41.6</v>
      </c>
    </row>
    <row r="13" spans="1:3" x14ac:dyDescent="0.25">
      <c r="A13">
        <v>12</v>
      </c>
      <c r="B13">
        <v>64.709999999999994</v>
      </c>
      <c r="C13">
        <v>40.340000000000003</v>
      </c>
    </row>
    <row r="14" spans="1:3" x14ac:dyDescent="0.25">
      <c r="A14">
        <v>13</v>
      </c>
      <c r="B14">
        <v>64.42</v>
      </c>
      <c r="C14">
        <v>39.17</v>
      </c>
    </row>
    <row r="15" spans="1:3" x14ac:dyDescent="0.25">
      <c r="A15">
        <v>14</v>
      </c>
      <c r="B15">
        <v>64.3</v>
      </c>
      <c r="C15">
        <v>38.049999999999997</v>
      </c>
    </row>
    <row r="16" spans="1:3" x14ac:dyDescent="0.25">
      <c r="A16">
        <v>15</v>
      </c>
      <c r="B16">
        <v>63.98</v>
      </c>
      <c r="C16">
        <v>37.020000000000003</v>
      </c>
    </row>
    <row r="17" spans="1:3" x14ac:dyDescent="0.25">
      <c r="A17">
        <v>16</v>
      </c>
      <c r="B17">
        <v>63.73</v>
      </c>
      <c r="C17">
        <v>36.03</v>
      </c>
    </row>
    <row r="18" spans="1:3" x14ac:dyDescent="0.25">
      <c r="A18">
        <v>17</v>
      </c>
      <c r="B18">
        <v>63.71</v>
      </c>
      <c r="C18">
        <v>35.1</v>
      </c>
    </row>
    <row r="19" spans="1:3" x14ac:dyDescent="0.25">
      <c r="A19">
        <v>18</v>
      </c>
      <c r="B19">
        <v>63.74</v>
      </c>
      <c r="C19">
        <v>34.200000000000003</v>
      </c>
    </row>
    <row r="20" spans="1:3" x14ac:dyDescent="0.25">
      <c r="A20">
        <v>19</v>
      </c>
      <c r="B20">
        <v>63.7</v>
      </c>
      <c r="C20">
        <v>33.369999999999997</v>
      </c>
    </row>
    <row r="21" spans="1:3" x14ac:dyDescent="0.25">
      <c r="A21">
        <v>20</v>
      </c>
      <c r="B21">
        <v>63.66</v>
      </c>
      <c r="C21">
        <v>32.56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topLeftCell="A9" workbookViewId="0">
      <selection sqref="A1:F1"/>
    </sheetView>
  </sheetViews>
  <sheetFormatPr defaultRowHeight="15" x14ac:dyDescent="0.25"/>
  <cols>
    <col min="1" max="1" width="28" customWidth="1"/>
    <col min="2" max="3" width="16" customWidth="1"/>
    <col min="4" max="4" width="14" customWidth="1"/>
    <col min="5" max="5" width="10" customWidth="1"/>
    <col min="6" max="6" width="52" customWidth="1"/>
  </cols>
  <sheetData>
    <row r="1" spans="1:6" ht="36" customHeight="1" x14ac:dyDescent="0.25">
      <c r="A1" s="32" t="s">
        <v>47</v>
      </c>
      <c r="B1" s="28"/>
      <c r="C1" s="28"/>
      <c r="D1" s="28"/>
      <c r="E1" s="28"/>
      <c r="F1" s="28"/>
    </row>
    <row r="2" spans="1:6" x14ac:dyDescent="0.25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</row>
    <row r="3" spans="1:6" x14ac:dyDescent="0.25">
      <c r="A3" s="17" t="s">
        <v>54</v>
      </c>
      <c r="B3" s="18" t="s">
        <v>55</v>
      </c>
      <c r="C3" s="18" t="s">
        <v>55</v>
      </c>
      <c r="D3" s="18" t="s">
        <v>56</v>
      </c>
      <c r="E3" s="19" t="s">
        <v>57</v>
      </c>
      <c r="F3" s="20" t="s">
        <v>58</v>
      </c>
    </row>
    <row r="4" spans="1:6" x14ac:dyDescent="0.25">
      <c r="A4" s="21" t="s">
        <v>59</v>
      </c>
      <c r="B4" s="4" t="s">
        <v>60</v>
      </c>
      <c r="C4" s="4" t="s">
        <v>61</v>
      </c>
      <c r="D4" s="4" t="s">
        <v>62</v>
      </c>
      <c r="E4" s="22" t="s">
        <v>63</v>
      </c>
      <c r="F4" s="23" t="s">
        <v>64</v>
      </c>
    </row>
    <row r="5" spans="1:6" ht="21.95" customHeight="1" x14ac:dyDescent="0.25">
      <c r="A5" s="17" t="s">
        <v>65</v>
      </c>
      <c r="B5" s="18" t="s">
        <v>66</v>
      </c>
      <c r="C5" s="18" t="s">
        <v>67</v>
      </c>
      <c r="D5" s="18" t="s">
        <v>68</v>
      </c>
      <c r="E5" s="22" t="s">
        <v>63</v>
      </c>
      <c r="F5" s="20" t="s">
        <v>69</v>
      </c>
    </row>
    <row r="6" spans="1:6" ht="21.95" customHeight="1" x14ac:dyDescent="0.25">
      <c r="A6" s="21" t="s">
        <v>70</v>
      </c>
      <c r="B6" s="4" t="s">
        <v>71</v>
      </c>
      <c r="C6" s="4" t="s">
        <v>72</v>
      </c>
      <c r="D6" s="4" t="s">
        <v>73</v>
      </c>
      <c r="E6" s="22" t="s">
        <v>63</v>
      </c>
      <c r="F6" s="23" t="s">
        <v>74</v>
      </c>
    </row>
    <row r="7" spans="1:6" ht="21.95" customHeight="1" x14ac:dyDescent="0.25">
      <c r="A7" s="17" t="s">
        <v>75</v>
      </c>
      <c r="B7" s="18" t="s">
        <v>76</v>
      </c>
      <c r="C7" s="18" t="s">
        <v>77</v>
      </c>
      <c r="D7" s="18" t="s">
        <v>78</v>
      </c>
      <c r="E7" s="22" t="s">
        <v>63</v>
      </c>
      <c r="F7" s="20" t="s">
        <v>79</v>
      </c>
    </row>
    <row r="8" spans="1:6" ht="21.95" customHeight="1" x14ac:dyDescent="0.25">
      <c r="A8" s="21" t="s">
        <v>80</v>
      </c>
      <c r="B8" s="4" t="s">
        <v>81</v>
      </c>
      <c r="C8" s="4" t="s">
        <v>82</v>
      </c>
      <c r="D8" s="4" t="s">
        <v>83</v>
      </c>
      <c r="E8" s="22" t="s">
        <v>63</v>
      </c>
      <c r="F8" s="23" t="s">
        <v>84</v>
      </c>
    </row>
    <row r="9" spans="1:6" ht="21.95" customHeight="1" x14ac:dyDescent="0.25">
      <c r="A9" s="17" t="s">
        <v>85</v>
      </c>
      <c r="B9" s="18" t="s">
        <v>86</v>
      </c>
      <c r="C9" s="18" t="s">
        <v>86</v>
      </c>
      <c r="D9" s="18" t="s">
        <v>87</v>
      </c>
      <c r="E9" s="19" t="s">
        <v>57</v>
      </c>
      <c r="F9" s="20" t="s">
        <v>88</v>
      </c>
    </row>
    <row r="10" spans="1:6" ht="21.95" customHeight="1" x14ac:dyDescent="0.25">
      <c r="A10" s="21" t="s">
        <v>89</v>
      </c>
      <c r="B10" s="4" t="s">
        <v>90</v>
      </c>
      <c r="C10" s="4" t="s">
        <v>91</v>
      </c>
      <c r="D10" s="4" t="s">
        <v>92</v>
      </c>
      <c r="E10" s="19" t="s">
        <v>57</v>
      </c>
      <c r="F10" s="23" t="s">
        <v>93</v>
      </c>
    </row>
    <row r="11" spans="1:6" ht="21.95" customHeight="1" x14ac:dyDescent="0.25">
      <c r="A11" s="17" t="s">
        <v>94</v>
      </c>
      <c r="B11" s="18" t="s">
        <v>95</v>
      </c>
      <c r="C11" s="18" t="s">
        <v>95</v>
      </c>
      <c r="D11" s="18" t="s">
        <v>87</v>
      </c>
      <c r="E11" s="19" t="s">
        <v>57</v>
      </c>
      <c r="F11" s="20" t="s">
        <v>96</v>
      </c>
    </row>
    <row r="12" spans="1:6" ht="21.95" customHeight="1" x14ac:dyDescent="0.25">
      <c r="A12" s="21" t="s">
        <v>97</v>
      </c>
      <c r="B12" s="4" t="s">
        <v>98</v>
      </c>
      <c r="C12" s="4" t="s">
        <v>99</v>
      </c>
      <c r="D12" s="4" t="s">
        <v>100</v>
      </c>
      <c r="E12" s="24" t="s">
        <v>11</v>
      </c>
      <c r="F12" s="23" t="s">
        <v>101</v>
      </c>
    </row>
    <row r="13" spans="1:6" ht="21.95" customHeight="1" x14ac:dyDescent="0.25">
      <c r="A13" s="17" t="s">
        <v>102</v>
      </c>
      <c r="B13" s="18" t="s">
        <v>103</v>
      </c>
      <c r="C13" s="18" t="s">
        <v>104</v>
      </c>
      <c r="D13" s="18" t="s">
        <v>105</v>
      </c>
      <c r="E13" s="24" t="s">
        <v>11</v>
      </c>
      <c r="F13" s="20" t="s">
        <v>106</v>
      </c>
    </row>
    <row r="14" spans="1:6" ht="21.95" customHeight="1" x14ac:dyDescent="0.25">
      <c r="A14" s="21" t="s">
        <v>107</v>
      </c>
      <c r="B14" s="4" t="s">
        <v>108</v>
      </c>
      <c r="C14" s="4" t="s">
        <v>109</v>
      </c>
      <c r="D14" s="4" t="s">
        <v>110</v>
      </c>
      <c r="E14" s="22" t="s">
        <v>63</v>
      </c>
      <c r="F14" s="23" t="s">
        <v>111</v>
      </c>
    </row>
    <row r="15" spans="1:6" ht="21.95" customHeight="1" x14ac:dyDescent="0.25">
      <c r="A15" s="17" t="s">
        <v>112</v>
      </c>
      <c r="B15" s="18" t="s">
        <v>113</v>
      </c>
      <c r="C15" s="18" t="s">
        <v>114</v>
      </c>
      <c r="D15" s="18" t="s">
        <v>110</v>
      </c>
      <c r="E15" s="22" t="s">
        <v>63</v>
      </c>
      <c r="F15" s="20" t="s">
        <v>115</v>
      </c>
    </row>
    <row r="16" spans="1:6" ht="21.95" customHeight="1" x14ac:dyDescent="0.25"/>
    <row r="17" ht="21.95" customHeight="1" x14ac:dyDescent="0.25"/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ML Mode</vt:lpstr>
      <vt:lpstr>ML_ChartData</vt:lpstr>
      <vt:lpstr>Classic Mode</vt:lpstr>
      <vt:lpstr>CL_ChartData</vt:lpstr>
      <vt:lpstr>CmpChartData</vt:lpstr>
      <vt:lpstr>Comparație ML vs Classic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2026-05-09T13:18:17Z</dcterms:created>
  <dcterms:modified xsi:type="dcterms:W3CDTF">2026-05-09T14:06:27Z</dcterms:modified>
</cp:coreProperties>
</file>